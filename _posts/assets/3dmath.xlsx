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trunk\doc\blog\assets\"/>
    </mc:Choice>
  </mc:AlternateContent>
  <bookViews>
    <workbookView xWindow="0" yWindow="0" windowWidth="28125" windowHeight="12540" activeTab="2"/>
  </bookViews>
  <sheets>
    <sheet name="Sheet1" sheetId="1" r:id="rId1"/>
    <sheet name="battleCircle" sheetId="2" r:id="rId2"/>
    <sheet name="坐标转换" sheetId="3" r:id="rId3"/>
    <sheet name="矩形检测" sheetId="4" r:id="rId4"/>
    <sheet name="Sheet2" sheetId="5" r:id="rId5"/>
  </sheets>
  <calcPr calcId="162913"/>
</workbook>
</file>

<file path=xl/calcChain.xml><?xml version="1.0" encoding="utf-8"?>
<calcChain xmlns="http://schemas.openxmlformats.org/spreadsheetml/2006/main">
  <c r="E46" i="3" l="1"/>
  <c r="I4" i="3" l="1"/>
  <c r="H4" i="3"/>
  <c r="G4" i="3"/>
  <c r="F4" i="4" l="1"/>
  <c r="E4" i="4"/>
  <c r="F3" i="4"/>
  <c r="E11" i="4" s="1" a="1"/>
  <c r="E3" i="4"/>
  <c r="J2" i="4"/>
  <c r="R47" i="3"/>
  <c r="R46" i="3"/>
  <c r="W24" i="3"/>
  <c r="V24" i="3"/>
  <c r="U24" i="3"/>
  <c r="W23" i="3"/>
  <c r="V23" i="3"/>
  <c r="U23" i="3"/>
  <c r="W22" i="3"/>
  <c r="V22" i="3"/>
  <c r="U22" i="3"/>
  <c r="W21" i="3"/>
  <c r="V21" i="3"/>
  <c r="U21" i="3"/>
  <c r="W15" i="3"/>
  <c r="V15" i="3"/>
  <c r="U15" i="3"/>
  <c r="W14" i="3"/>
  <c r="V14" i="3"/>
  <c r="U14" i="3"/>
  <c r="W13" i="3"/>
  <c r="V13" i="3"/>
  <c r="U13" i="3"/>
  <c r="W9" i="3"/>
  <c r="V9" i="3"/>
  <c r="U9" i="3"/>
  <c r="W4" i="3"/>
  <c r="V4" i="3"/>
  <c r="U4" i="3"/>
  <c r="I3" i="3"/>
  <c r="H3" i="3"/>
  <c r="G3" i="3"/>
  <c r="D18" i="2"/>
  <c r="B18" i="2" s="1"/>
  <c r="A18" i="2"/>
  <c r="D17" i="2"/>
  <c r="A17" i="2" s="1"/>
  <c r="D16" i="2"/>
  <c r="A16" i="2" s="1"/>
  <c r="B16" i="2"/>
  <c r="D15" i="2"/>
  <c r="B15" i="2"/>
  <c r="A15" i="2"/>
  <c r="D14" i="2"/>
  <c r="B14" i="2" s="1"/>
  <c r="A14" i="2"/>
  <c r="D13" i="2"/>
  <c r="B13" i="2" s="1"/>
  <c r="D12" i="2"/>
  <c r="A12" i="2" s="1"/>
  <c r="B12" i="2"/>
  <c r="D11" i="2"/>
  <c r="B11" i="2"/>
  <c r="A11" i="2"/>
  <c r="D10" i="2"/>
  <c r="B10" i="2" s="1"/>
  <c r="A10" i="2"/>
  <c r="D9" i="2"/>
  <c r="A9" i="2" s="1"/>
  <c r="D8" i="2"/>
  <c r="A8" i="2" s="1"/>
  <c r="B8" i="2"/>
  <c r="D7" i="2"/>
  <c r="B7" i="2"/>
  <c r="A7" i="2"/>
  <c r="D6" i="2"/>
  <c r="B6" i="2" s="1"/>
  <c r="A6" i="2"/>
  <c r="D5" i="2"/>
  <c r="B5" i="2" s="1"/>
  <c r="D4" i="2"/>
  <c r="A4" i="2" s="1"/>
  <c r="B4" i="2"/>
  <c r="D3" i="2"/>
  <c r="B3" i="2"/>
  <c r="A3" i="2"/>
  <c r="D2" i="2"/>
  <c r="B2" i="2" s="1"/>
  <c r="A2" i="2"/>
  <c r="N1" i="2"/>
  <c r="C59" i="1"/>
  <c r="H56" i="1"/>
  <c r="C50" i="1"/>
  <c r="B50" i="1"/>
  <c r="E49" i="1"/>
  <c r="D49" i="1"/>
  <c r="C49" i="1"/>
  <c r="B49" i="1"/>
  <c r="K42" i="1"/>
  <c r="J40" i="1"/>
  <c r="I44" i="1" s="1"/>
  <c r="K35" i="1"/>
  <c r="J35" i="1"/>
  <c r="J32" i="1"/>
  <c r="J36" i="1" s="1"/>
  <c r="J24" i="1"/>
  <c r="J26" i="1" s="1"/>
  <c r="N18" i="1" a="1"/>
  <c r="Q18" i="1" s="1"/>
  <c r="N10" i="1" a="1"/>
  <c r="Q10" i="1" s="1"/>
  <c r="N10" i="1"/>
  <c r="U7" i="1"/>
  <c r="M4" i="1"/>
  <c r="O3" i="1"/>
  <c r="O4" i="1" s="1"/>
  <c r="N3" i="1"/>
  <c r="N4" i="1" s="1"/>
  <c r="M3" i="1"/>
  <c r="O2" i="1"/>
  <c r="N2" i="1"/>
  <c r="M2" i="1"/>
  <c r="B2" i="1"/>
  <c r="B5" i="1" s="1"/>
  <c r="G11" i="4" l="1"/>
  <c r="F11" i="4"/>
  <c r="E11" i="4"/>
  <c r="E18" i="4" s="1" a="1"/>
  <c r="A5" i="1"/>
  <c r="N18" i="1"/>
  <c r="K36" i="1"/>
  <c r="N34" i="1" s="1" a="1"/>
  <c r="O18" i="1"/>
  <c r="I42" i="1"/>
  <c r="N42" i="1" s="1" a="1"/>
  <c r="K44" i="1"/>
  <c r="B9" i="2"/>
  <c r="B17" i="2"/>
  <c r="E8" i="4" a="1"/>
  <c r="E10" i="4" a="1"/>
  <c r="A5" i="2"/>
  <c r="A13" i="2"/>
  <c r="P18" i="1"/>
  <c r="O10" i="1"/>
  <c r="I27" i="1"/>
  <c r="P10" i="1"/>
  <c r="I26" i="1"/>
  <c r="N26" i="1" s="1" a="1"/>
  <c r="J27" i="1"/>
  <c r="E9" i="4" a="1"/>
  <c r="Q34" i="1" l="1"/>
  <c r="P34" i="1"/>
  <c r="O34" i="1"/>
  <c r="N34" i="1"/>
  <c r="G9" i="4"/>
  <c r="F9" i="4"/>
  <c r="E9" i="4"/>
  <c r="E16" i="4" s="1" a="1"/>
  <c r="G10" i="4"/>
  <c r="F10" i="4"/>
  <c r="E10" i="4"/>
  <c r="Q26" i="1"/>
  <c r="P26" i="1"/>
  <c r="O26" i="1"/>
  <c r="N26" i="1"/>
  <c r="G18" i="4"/>
  <c r="F18" i="4"/>
  <c r="E18" i="4"/>
  <c r="G8" i="4"/>
  <c r="F8" i="4"/>
  <c r="E8" i="4"/>
  <c r="E15" i="4" s="1" a="1"/>
  <c r="P42" i="1"/>
  <c r="O42" i="1"/>
  <c r="N42" i="1"/>
  <c r="Q42" i="1"/>
  <c r="G15" i="4" l="1"/>
  <c r="F15" i="4"/>
  <c r="E15" i="4"/>
  <c r="G16" i="4"/>
  <c r="F16" i="4"/>
  <c r="E16" i="4"/>
  <c r="E17" i="4" a="1"/>
  <c r="G17" i="4" l="1"/>
  <c r="F17" i="4"/>
  <c r="E17" i="4"/>
</calcChain>
</file>

<file path=xl/sharedStrings.xml><?xml version="1.0" encoding="utf-8"?>
<sst xmlns="http://schemas.openxmlformats.org/spreadsheetml/2006/main" count="199" uniqueCount="77">
  <si>
    <t>角度</t>
  </si>
  <si>
    <t>弧度</t>
  </si>
  <si>
    <t>源数据</t>
  </si>
  <si>
    <t>x</t>
  </si>
  <si>
    <t>y</t>
  </si>
  <si>
    <t>z</t>
  </si>
  <si>
    <t>客户端锚点</t>
  </si>
  <si>
    <t>结果</t>
  </si>
  <si>
    <t>客户端位置</t>
  </si>
  <si>
    <t>废弃工厂</t>
  </si>
  <si>
    <t>服务器位置</t>
  </si>
  <si>
    <t>sin</t>
  </si>
  <si>
    <t>cos</t>
  </si>
  <si>
    <t>导航坐标</t>
  </si>
  <si>
    <t>原始坐标</t>
  </si>
  <si>
    <t>平移矩阵</t>
  </si>
  <si>
    <t>补位</t>
  </si>
  <si>
    <t>dx</t>
  </si>
  <si>
    <t>dy</t>
  </si>
  <si>
    <t>dz</t>
  </si>
  <si>
    <t>缩放矩阵</t>
  </si>
  <si>
    <t>旋转方向</t>
  </si>
  <si>
    <t>右手系</t>
  </si>
  <si>
    <t>逆时针</t>
  </si>
  <si>
    <t>左手系</t>
  </si>
  <si>
    <t>顺时针</t>
  </si>
  <si>
    <t>z旋转</t>
  </si>
  <si>
    <t>cos(θ)</t>
  </si>
  <si>
    <t>sin(θ)</t>
  </si>
  <si>
    <t>-sin(θ)</t>
  </si>
  <si>
    <t>x旋转</t>
  </si>
  <si>
    <t>y旋转</t>
  </si>
  <si>
    <t>实数</t>
  </si>
  <si>
    <t>虚数</t>
  </si>
  <si>
    <t>除法</t>
  </si>
  <si>
    <t>乘法</t>
  </si>
  <si>
    <t>7+i</t>
  </si>
  <si>
    <t>3+4i</t>
  </si>
  <si>
    <t>源地址</t>
  </si>
  <si>
    <t>目标地址</t>
  </si>
  <si>
    <t>距离</t>
  </si>
  <si>
    <t>angle</t>
  </si>
  <si>
    <t>radian</t>
  </si>
  <si>
    <t>radius</t>
  </si>
  <si>
    <t>锚点坐标</t>
  </si>
  <si>
    <t>公式</t>
  </si>
  <si>
    <t>ClientPos-ServerPos = AnchorPos</t>
  </si>
  <si>
    <t>(SX+AX)*-0.01</t>
  </si>
  <si>
    <t>(SY+AY)*0.01</t>
  </si>
  <si>
    <t>(SZ+AZ)*-0.01</t>
  </si>
  <si>
    <t>NX*-100-AX</t>
  </si>
  <si>
    <t>NY*100-AY</t>
  </si>
  <si>
    <t>NZ*-100-AZ</t>
  </si>
  <si>
    <t>self</t>
  </si>
  <si>
    <t>&lt;server/zeus/linmath.Vector3&gt;</t>
  </si>
  <si>
    <t>X:7108.063</t>
  </si>
  <si>
    <t>Y:550</t>
  </si>
  <si>
    <t>Z:2827.51</t>
  </si>
  <si>
    <t>enemyPos</t>
  </si>
  <si>
    <t>X:7105.0303</t>
  </si>
  <si>
    <t>Z:3358.6218</t>
  </si>
  <si>
    <t>s.chasePos</t>
  </si>
  <si>
    <t>X:7106.0127</t>
  </si>
  <si>
    <t>Z:3190.6426</t>
  </si>
  <si>
    <t>enemy</t>
  </si>
  <si>
    <t>chase</t>
  </si>
  <si>
    <t>enemy-&gt;chase</t>
  </si>
  <si>
    <t>矩形框</t>
  </si>
  <si>
    <t>旋转矩阵</t>
  </si>
  <si>
    <t>转换结果</t>
  </si>
  <si>
    <t>平移结果</t>
  </si>
  <si>
    <t>x</t>
    <phoneticPr fontId="9" type="noConversion"/>
  </si>
  <si>
    <t>y</t>
    <phoneticPr fontId="9" type="noConversion"/>
  </si>
  <si>
    <t>z</t>
    <phoneticPr fontId="9" type="noConversion"/>
  </si>
  <si>
    <t>自己位置</t>
    <phoneticPr fontId="9" type="noConversion"/>
  </si>
  <si>
    <t>追击位置</t>
    <phoneticPr fontId="7" type="noConversion"/>
  </si>
  <si>
    <t>敌人位置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</si>
</sst>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CE9178"/>
      <name val="Consolas"/>
      <family val="3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3">
      <alignment vertical="center"/>
    </xf>
    <xf numFmtId="0" fontId="2" fillId="3" borderId="0" xfId="1">
      <alignment vertical="center"/>
    </xf>
    <xf numFmtId="0" fontId="0" fillId="0" borderId="1" xfId="0" applyBorder="1">
      <alignment vertical="center"/>
    </xf>
    <xf numFmtId="0" fontId="1" fillId="2" borderId="2" xfId="3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5" fillId="6" borderId="0" xfId="4">
      <alignment vertical="center"/>
    </xf>
    <xf numFmtId="0" fontId="6" fillId="7" borderId="4" xfId="2">
      <alignment vertical="center"/>
    </xf>
    <xf numFmtId="0" fontId="1" fillId="2" borderId="0" xfId="3" quotePrefix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</cellXfs>
  <cellStyles count="5">
    <cellStyle name="差" xfId="1" builtinId="27"/>
    <cellStyle name="常规" xfId="0" builtinId="0"/>
    <cellStyle name="好" xfId="3" builtinId="26"/>
    <cellStyle name="适中" xfId="4" builtinId="28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workbookViewId="0">
      <selection activeCell="D64" sqref="D64"/>
    </sheetView>
  </sheetViews>
  <sheetFormatPr defaultColWidth="9" defaultRowHeight="14.25" x14ac:dyDescent="0.2"/>
  <cols>
    <col min="1" max="2" width="12.75" customWidth="1"/>
    <col min="4" max="4" width="11" customWidth="1"/>
    <col min="8" max="8" width="11" customWidth="1"/>
    <col min="12" max="12" width="11" customWidth="1"/>
  </cols>
  <sheetData>
    <row r="1" spans="1:21" x14ac:dyDescent="0.2">
      <c r="A1" t="s">
        <v>0</v>
      </c>
      <c r="B1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3</v>
      </c>
      <c r="J1" s="7" t="s">
        <v>4</v>
      </c>
      <c r="K1" s="7" t="s">
        <v>5</v>
      </c>
      <c r="L1" s="7" t="s">
        <v>7</v>
      </c>
      <c r="M1" s="7" t="s">
        <v>3</v>
      </c>
      <c r="N1" s="7" t="s">
        <v>4</v>
      </c>
      <c r="O1" s="7" t="s">
        <v>5</v>
      </c>
    </row>
    <row r="2" spans="1:21" x14ac:dyDescent="0.2">
      <c r="A2">
        <v>45</v>
      </c>
      <c r="B2">
        <f>(A2/180)*PI()</f>
        <v>0.78539816339744828</v>
      </c>
      <c r="D2" t="s">
        <v>8</v>
      </c>
      <c r="E2">
        <v>-4736</v>
      </c>
      <c r="F2">
        <v>2400</v>
      </c>
      <c r="G2">
        <v>-5930</v>
      </c>
      <c r="H2" t="s">
        <v>9</v>
      </c>
      <c r="I2">
        <v>-3610</v>
      </c>
      <c r="J2">
        <v>0</v>
      </c>
      <c r="K2">
        <v>-2600</v>
      </c>
      <c r="L2" t="s">
        <v>10</v>
      </c>
      <c r="M2">
        <f>E2-I2</f>
        <v>-1126</v>
      </c>
      <c r="N2">
        <f>F2-K2</f>
        <v>5000</v>
      </c>
      <c r="O2">
        <f>G2-J2</f>
        <v>-5930</v>
      </c>
    </row>
    <row r="3" spans="1:21" x14ac:dyDescent="0.2">
      <c r="D3" t="s">
        <v>10</v>
      </c>
      <c r="E3">
        <v>-1126</v>
      </c>
      <c r="F3">
        <v>5000</v>
      </c>
      <c r="G3">
        <v>-5930</v>
      </c>
      <c r="L3" t="s">
        <v>8</v>
      </c>
      <c r="M3">
        <f>E3+I2</f>
        <v>-4736</v>
      </c>
      <c r="N3">
        <f>F3+K2</f>
        <v>2400</v>
      </c>
      <c r="O3">
        <f>G3+J2</f>
        <v>-5930</v>
      </c>
    </row>
    <row r="4" spans="1:21" x14ac:dyDescent="0.2">
      <c r="A4" t="s">
        <v>11</v>
      </c>
      <c r="B4" t="s">
        <v>12</v>
      </c>
      <c r="L4" t="s">
        <v>13</v>
      </c>
      <c r="M4">
        <f>M3*-0.01</f>
        <v>47.36</v>
      </c>
      <c r="N4">
        <f>N3*0.01</f>
        <v>24</v>
      </c>
      <c r="O4">
        <f>O3*-0.01</f>
        <v>59.300000000000004</v>
      </c>
    </row>
    <row r="5" spans="1:21" x14ac:dyDescent="0.2">
      <c r="A5">
        <f>SIN(B2)</f>
        <v>0.70710678118654746</v>
      </c>
      <c r="B5">
        <f>COS(B2)</f>
        <v>0.70710678118654757</v>
      </c>
    </row>
    <row r="7" spans="1:21" x14ac:dyDescent="0.2">
      <c r="T7">
        <v>1275</v>
      </c>
      <c r="U7">
        <f>SQRT(T7)</f>
        <v>35.707142142714247</v>
      </c>
    </row>
    <row r="9" spans="1:21" x14ac:dyDescent="0.2">
      <c r="D9" t="s">
        <v>14</v>
      </c>
      <c r="I9" t="s">
        <v>15</v>
      </c>
      <c r="N9" t="s">
        <v>7</v>
      </c>
    </row>
    <row r="10" spans="1:21" x14ac:dyDescent="0.2">
      <c r="D10" t="s">
        <v>3</v>
      </c>
      <c r="E10" t="s">
        <v>4</v>
      </c>
      <c r="F10" t="s">
        <v>5</v>
      </c>
      <c r="G10" t="s">
        <v>16</v>
      </c>
      <c r="I10" s="9">
        <v>1</v>
      </c>
      <c r="J10" s="9">
        <v>0</v>
      </c>
      <c r="K10" s="9">
        <v>0</v>
      </c>
      <c r="L10" s="9">
        <v>0</v>
      </c>
      <c r="N10" s="10">
        <f t="array" ref="N10:Q10">MMULT(D11:G11,I10:L13)</f>
        <v>-88</v>
      </c>
      <c r="O10" s="10">
        <v>-59</v>
      </c>
      <c r="P10" s="10">
        <v>51</v>
      </c>
      <c r="Q10" s="10">
        <v>1</v>
      </c>
    </row>
    <row r="11" spans="1:21" x14ac:dyDescent="0.2">
      <c r="D11" s="1">
        <v>1</v>
      </c>
      <c r="E11" s="1">
        <v>1</v>
      </c>
      <c r="F11" s="1">
        <v>1</v>
      </c>
      <c r="G11" s="1">
        <v>1</v>
      </c>
      <c r="I11" s="9">
        <v>0</v>
      </c>
      <c r="J11" s="9">
        <v>1</v>
      </c>
      <c r="K11" s="9">
        <v>0</v>
      </c>
      <c r="L11" s="9">
        <v>0</v>
      </c>
    </row>
    <row r="12" spans="1:21" x14ac:dyDescent="0.2">
      <c r="I12" s="9">
        <v>0</v>
      </c>
      <c r="J12" s="9">
        <v>0</v>
      </c>
      <c r="K12" s="9">
        <v>1</v>
      </c>
      <c r="L12" s="9">
        <v>0</v>
      </c>
    </row>
    <row r="13" spans="1:21" x14ac:dyDescent="0.2">
      <c r="I13" s="9">
        <v>-89</v>
      </c>
      <c r="J13" s="9">
        <v>-60</v>
      </c>
      <c r="K13" s="9">
        <v>50</v>
      </c>
      <c r="L13" s="9">
        <v>1</v>
      </c>
    </row>
    <row r="14" spans="1:21" x14ac:dyDescent="0.2">
      <c r="I14" t="s">
        <v>17</v>
      </c>
      <c r="J14" t="s">
        <v>18</v>
      </c>
      <c r="K14" t="s">
        <v>19</v>
      </c>
    </row>
    <row r="17" spans="2:17" x14ac:dyDescent="0.2">
      <c r="I17" t="s">
        <v>20</v>
      </c>
      <c r="N17" t="s">
        <v>7</v>
      </c>
    </row>
    <row r="18" spans="2:17" x14ac:dyDescent="0.2">
      <c r="I18" s="9">
        <v>0.5</v>
      </c>
      <c r="J18" s="9">
        <v>0</v>
      </c>
      <c r="K18" s="9">
        <v>0</v>
      </c>
      <c r="L18" s="9">
        <v>0</v>
      </c>
      <c r="N18" s="10">
        <f t="array" ref="N18:Q18">MMULT(D11:G11,I18:L21)</f>
        <v>0.5</v>
      </c>
      <c r="O18" s="10">
        <v>0.2</v>
      </c>
      <c r="P18" s="10">
        <v>0.1</v>
      </c>
      <c r="Q18" s="10">
        <v>1</v>
      </c>
    </row>
    <row r="19" spans="2:17" x14ac:dyDescent="0.2">
      <c r="I19" s="9">
        <v>0</v>
      </c>
      <c r="J19" s="9">
        <v>0.2</v>
      </c>
      <c r="K19" s="9">
        <v>0</v>
      </c>
      <c r="L19" s="9">
        <v>0</v>
      </c>
    </row>
    <row r="20" spans="2:17" x14ac:dyDescent="0.2">
      <c r="E20" t="s">
        <v>21</v>
      </c>
      <c r="F20" t="s">
        <v>22</v>
      </c>
      <c r="G20" t="s">
        <v>23</v>
      </c>
      <c r="I20" s="9">
        <v>0</v>
      </c>
      <c r="J20" s="9">
        <v>0</v>
      </c>
      <c r="K20" s="9">
        <v>0.1</v>
      </c>
      <c r="L20" s="9">
        <v>0</v>
      </c>
    </row>
    <row r="21" spans="2:17" x14ac:dyDescent="0.2">
      <c r="F21" t="s">
        <v>24</v>
      </c>
      <c r="G21" t="s">
        <v>25</v>
      </c>
      <c r="I21" s="9">
        <v>0</v>
      </c>
      <c r="J21" s="9">
        <v>0</v>
      </c>
      <c r="K21" s="9">
        <v>0</v>
      </c>
      <c r="L21" s="9">
        <v>1</v>
      </c>
    </row>
    <row r="23" spans="2:17" x14ac:dyDescent="0.2">
      <c r="I23" t="s">
        <v>0</v>
      </c>
      <c r="J23" t="s">
        <v>1</v>
      </c>
    </row>
    <row r="24" spans="2:17" x14ac:dyDescent="0.2">
      <c r="I24" s="9">
        <v>60</v>
      </c>
      <c r="J24">
        <f>(I24/180)*PI()</f>
        <v>1.0471975511965976</v>
      </c>
    </row>
    <row r="25" spans="2:17" x14ac:dyDescent="0.2">
      <c r="E25" t="s">
        <v>26</v>
      </c>
      <c r="I25" t="s">
        <v>26</v>
      </c>
      <c r="N25" t="s">
        <v>7</v>
      </c>
    </row>
    <row r="26" spans="2:17" x14ac:dyDescent="0.2">
      <c r="E26" s="1" t="s">
        <v>27</v>
      </c>
      <c r="F26" s="1" t="s">
        <v>28</v>
      </c>
      <c r="G26" s="1">
        <v>0</v>
      </c>
      <c r="H26" s="1">
        <v>0</v>
      </c>
      <c r="I26" s="9">
        <f>COS(J24)</f>
        <v>0.50000000000000011</v>
      </c>
      <c r="J26" s="9">
        <f>SIN(J24)</f>
        <v>0.8660254037844386</v>
      </c>
      <c r="K26" s="9">
        <v>0</v>
      </c>
      <c r="L26" s="9">
        <v>0</v>
      </c>
      <c r="N26" s="10">
        <f t="array" ref="N26:Q26">MMULT(D11:G11,I26:L29)</f>
        <v>-0.36602540378443849</v>
      </c>
      <c r="O26" s="10">
        <v>1.3660254037844388</v>
      </c>
      <c r="P26" s="10">
        <v>1</v>
      </c>
      <c r="Q26" s="10">
        <v>2</v>
      </c>
    </row>
    <row r="27" spans="2:17" x14ac:dyDescent="0.2">
      <c r="E27" s="11" t="s">
        <v>29</v>
      </c>
      <c r="F27" s="1" t="s">
        <v>27</v>
      </c>
      <c r="G27" s="1">
        <v>0</v>
      </c>
      <c r="H27" s="1">
        <v>0</v>
      </c>
      <c r="I27" s="9">
        <f>-SIN(J24)</f>
        <v>-0.8660254037844386</v>
      </c>
      <c r="J27" s="9">
        <f>COS(J24)</f>
        <v>0.50000000000000011</v>
      </c>
      <c r="K27" s="9">
        <v>0</v>
      </c>
      <c r="L27" s="9">
        <v>0</v>
      </c>
    </row>
    <row r="28" spans="2:17" x14ac:dyDescent="0.2">
      <c r="E28" s="1">
        <v>0</v>
      </c>
      <c r="F28" s="1">
        <v>0</v>
      </c>
      <c r="G28" s="1">
        <v>1</v>
      </c>
      <c r="H28" s="1">
        <v>0</v>
      </c>
      <c r="I28" s="9">
        <v>0</v>
      </c>
      <c r="J28" s="9">
        <v>0</v>
      </c>
      <c r="K28" s="9">
        <v>1</v>
      </c>
      <c r="L28" s="9">
        <v>1</v>
      </c>
    </row>
    <row r="29" spans="2:17" x14ac:dyDescent="0.2">
      <c r="B29" t="s">
        <v>24</v>
      </c>
      <c r="C29" s="1" t="s">
        <v>3</v>
      </c>
      <c r="E29" s="1">
        <v>0</v>
      </c>
      <c r="F29" s="1">
        <v>0</v>
      </c>
      <c r="G29" s="1">
        <v>0</v>
      </c>
      <c r="H29" s="1">
        <v>1</v>
      </c>
      <c r="I29" s="9">
        <v>0</v>
      </c>
      <c r="J29" s="9">
        <v>0</v>
      </c>
      <c r="K29" s="9">
        <v>0</v>
      </c>
      <c r="L29" s="9">
        <v>1</v>
      </c>
    </row>
    <row r="30" spans="2:17" x14ac:dyDescent="0.2">
      <c r="C30" s="2" t="s">
        <v>4</v>
      </c>
    </row>
    <row r="31" spans="2:17" x14ac:dyDescent="0.2">
      <c r="C31" s="8" t="s">
        <v>5</v>
      </c>
      <c r="I31" t="s">
        <v>0</v>
      </c>
      <c r="J31" t="s">
        <v>1</v>
      </c>
    </row>
    <row r="32" spans="2:17" x14ac:dyDescent="0.2">
      <c r="I32" s="9">
        <v>60</v>
      </c>
      <c r="J32">
        <f>(I32/180)*PI()</f>
        <v>1.0471975511965976</v>
      </c>
    </row>
    <row r="33" spans="2:17" x14ac:dyDescent="0.2">
      <c r="E33" t="s">
        <v>30</v>
      </c>
      <c r="I33" t="s">
        <v>30</v>
      </c>
      <c r="N33" t="s">
        <v>7</v>
      </c>
    </row>
    <row r="34" spans="2:17" x14ac:dyDescent="0.2">
      <c r="E34" s="1">
        <v>1</v>
      </c>
      <c r="F34" s="1">
        <v>0</v>
      </c>
      <c r="G34" s="1">
        <v>0</v>
      </c>
      <c r="H34" s="1">
        <v>0</v>
      </c>
      <c r="I34" s="9">
        <v>1</v>
      </c>
      <c r="J34" s="9">
        <v>0</v>
      </c>
      <c r="K34" s="9">
        <v>0</v>
      </c>
      <c r="L34" s="9">
        <v>0</v>
      </c>
      <c r="N34" s="10">
        <f t="array" ref="N34:Q34">MMULT(D11:G11,I34:L37)</f>
        <v>1</v>
      </c>
      <c r="O34" s="10">
        <v>-0.36602540378443849</v>
      </c>
      <c r="P34" s="10">
        <v>1.3660254037844388</v>
      </c>
      <c r="Q34" s="10">
        <v>2</v>
      </c>
    </row>
    <row r="35" spans="2:17" x14ac:dyDescent="0.2">
      <c r="E35" s="1">
        <v>0</v>
      </c>
      <c r="F35" s="1" t="s">
        <v>27</v>
      </c>
      <c r="G35" s="1" t="s">
        <v>28</v>
      </c>
      <c r="H35" s="1">
        <v>0</v>
      </c>
      <c r="I35" s="9">
        <v>0</v>
      </c>
      <c r="J35" s="9">
        <f>COS(J32)</f>
        <v>0.50000000000000011</v>
      </c>
      <c r="K35" s="9">
        <f>SIN(J32)</f>
        <v>0.8660254037844386</v>
      </c>
      <c r="L35" s="9">
        <v>0</v>
      </c>
    </row>
    <row r="36" spans="2:17" x14ac:dyDescent="0.2">
      <c r="E36" s="1">
        <v>0</v>
      </c>
      <c r="F36" s="11" t="s">
        <v>29</v>
      </c>
      <c r="G36" s="1" t="s">
        <v>27</v>
      </c>
      <c r="H36" s="1">
        <v>0</v>
      </c>
      <c r="I36" s="9">
        <v>0</v>
      </c>
      <c r="J36" s="9">
        <f>-SIN(J32)</f>
        <v>-0.8660254037844386</v>
      </c>
      <c r="K36" s="9">
        <f>COS(J32)</f>
        <v>0.50000000000000011</v>
      </c>
      <c r="L36" s="9">
        <v>1</v>
      </c>
    </row>
    <row r="37" spans="2:17" x14ac:dyDescent="0.2">
      <c r="E37" s="1">
        <v>0</v>
      </c>
      <c r="F37" s="1">
        <v>0</v>
      </c>
      <c r="G37" s="1">
        <v>0</v>
      </c>
      <c r="H37" s="1">
        <v>1</v>
      </c>
      <c r="I37" s="9">
        <v>0</v>
      </c>
      <c r="J37" s="9">
        <v>0</v>
      </c>
      <c r="K37" s="9">
        <v>0</v>
      </c>
      <c r="L37" s="9">
        <v>1</v>
      </c>
    </row>
    <row r="39" spans="2:17" x14ac:dyDescent="0.2">
      <c r="I39" t="s">
        <v>0</v>
      </c>
      <c r="J39" t="s">
        <v>1</v>
      </c>
    </row>
    <row r="40" spans="2:17" x14ac:dyDescent="0.2">
      <c r="I40" s="9">
        <v>60</v>
      </c>
      <c r="J40">
        <f>(I40/180)*PI()</f>
        <v>1.0471975511965976</v>
      </c>
    </row>
    <row r="41" spans="2:17" x14ac:dyDescent="0.2">
      <c r="E41" t="s">
        <v>31</v>
      </c>
      <c r="I41" t="s">
        <v>31</v>
      </c>
      <c r="N41" t="s">
        <v>7</v>
      </c>
    </row>
    <row r="42" spans="2:17" x14ac:dyDescent="0.2">
      <c r="E42" s="1" t="s">
        <v>27</v>
      </c>
      <c r="F42" s="1">
        <v>0</v>
      </c>
      <c r="G42" s="11" t="s">
        <v>29</v>
      </c>
      <c r="H42" s="1">
        <v>0</v>
      </c>
      <c r="I42" s="9">
        <f>COS(J40)</f>
        <v>0.50000000000000011</v>
      </c>
      <c r="J42" s="9">
        <v>0</v>
      </c>
      <c r="K42" s="9">
        <f>-SIN(J40)</f>
        <v>-0.8660254037844386</v>
      </c>
      <c r="L42" s="9">
        <v>0</v>
      </c>
      <c r="N42" s="10">
        <f t="array" ref="N42:Q42">MMULT(D11:G11,I42:L45)</f>
        <v>1.3660254037844388</v>
      </c>
      <c r="O42" s="10">
        <v>1</v>
      </c>
      <c r="P42" s="10">
        <v>-0.36602540378443849</v>
      </c>
      <c r="Q42" s="10">
        <v>2</v>
      </c>
    </row>
    <row r="43" spans="2:17" x14ac:dyDescent="0.2">
      <c r="E43" s="1">
        <v>0</v>
      </c>
      <c r="F43" s="1">
        <v>1</v>
      </c>
      <c r="G43" s="1">
        <v>0</v>
      </c>
      <c r="H43" s="1">
        <v>0</v>
      </c>
      <c r="I43" s="9">
        <v>0</v>
      </c>
      <c r="J43" s="9">
        <v>1</v>
      </c>
      <c r="K43" s="9">
        <v>0</v>
      </c>
      <c r="L43" s="9">
        <v>0</v>
      </c>
    </row>
    <row r="44" spans="2:17" x14ac:dyDescent="0.2">
      <c r="E44" s="11" t="s">
        <v>28</v>
      </c>
      <c r="F44" s="1">
        <v>0</v>
      </c>
      <c r="G44" s="1" t="s">
        <v>27</v>
      </c>
      <c r="H44" s="1">
        <v>0</v>
      </c>
      <c r="I44" s="9">
        <f>SIN(J40)</f>
        <v>0.8660254037844386</v>
      </c>
      <c r="J44" s="9">
        <v>0</v>
      </c>
      <c r="K44" s="9">
        <f>COS(J40)</f>
        <v>0.50000000000000011</v>
      </c>
      <c r="L44" s="9">
        <v>1</v>
      </c>
    </row>
    <row r="45" spans="2:17" x14ac:dyDescent="0.2">
      <c r="E45" s="1">
        <v>0</v>
      </c>
      <c r="F45" s="1">
        <v>0</v>
      </c>
      <c r="G45" s="1">
        <v>0</v>
      </c>
      <c r="H45" s="1">
        <v>1</v>
      </c>
      <c r="I45" s="9">
        <v>0</v>
      </c>
      <c r="J45" s="9">
        <v>0</v>
      </c>
      <c r="K45" s="9">
        <v>0</v>
      </c>
      <c r="L45" s="9">
        <v>1</v>
      </c>
    </row>
    <row r="48" spans="2:17" x14ac:dyDescent="0.2">
      <c r="B48" t="s">
        <v>32</v>
      </c>
      <c r="C48" t="s">
        <v>33</v>
      </c>
      <c r="D48" t="s">
        <v>34</v>
      </c>
      <c r="E48" t="s">
        <v>35</v>
      </c>
    </row>
    <row r="49" spans="1:8" x14ac:dyDescent="0.2">
      <c r="A49" t="s">
        <v>36</v>
      </c>
      <c r="B49">
        <f>IMREAL(A49)</f>
        <v>7</v>
      </c>
      <c r="C49">
        <f>IMAGINARY(A49)</f>
        <v>1</v>
      </c>
      <c r="D49" t="str">
        <f>IMDIV(A49,A50)</f>
        <v>1-i</v>
      </c>
      <c r="E49" t="str">
        <f>IMPRODUCT(A49,A50)</f>
        <v>17+31i</v>
      </c>
    </row>
    <row r="50" spans="1:8" x14ac:dyDescent="0.2">
      <c r="A50" t="s">
        <v>37</v>
      </c>
      <c r="B50">
        <f>IMREAL(A50)</f>
        <v>3</v>
      </c>
      <c r="C50">
        <f>IMAGINARY(A50)</f>
        <v>4</v>
      </c>
    </row>
    <row r="54" spans="1:8" x14ac:dyDescent="0.2">
      <c r="B54" t="s">
        <v>38</v>
      </c>
      <c r="E54" t="s">
        <v>39</v>
      </c>
      <c r="H54" t="s">
        <v>40</v>
      </c>
    </row>
    <row r="55" spans="1:8" x14ac:dyDescent="0.2">
      <c r="B55" t="s">
        <v>3</v>
      </c>
      <c r="C55" t="s">
        <v>4</v>
      </c>
      <c r="D55" t="s">
        <v>5</v>
      </c>
      <c r="E55" t="s">
        <v>3</v>
      </c>
      <c r="F55" t="s">
        <v>4</v>
      </c>
      <c r="G55" t="s">
        <v>5</v>
      </c>
    </row>
    <row r="56" spans="1:8" x14ac:dyDescent="0.2">
      <c r="B56">
        <v>3873.8766999999998</v>
      </c>
      <c r="C56">
        <v>550</v>
      </c>
      <c r="D56">
        <v>10848.087</v>
      </c>
      <c r="E56">
        <v>3911.9560000000001</v>
      </c>
      <c r="F56">
        <v>550</v>
      </c>
      <c r="G56">
        <v>10815.683999999999</v>
      </c>
      <c r="H56">
        <f>SQRT(POWER(B56-E56,2)+POWER(C56-F56,2)+POWER(D56-G56,2))</f>
        <v>49.999874974744102</v>
      </c>
    </row>
    <row r="59" spans="1:8" x14ac:dyDescent="0.2">
      <c r="A59">
        <v>600</v>
      </c>
      <c r="B59">
        <v>0.2</v>
      </c>
      <c r="C59">
        <f>A59*B59</f>
        <v>120</v>
      </c>
    </row>
    <row r="60" spans="1:8" x14ac:dyDescent="0.2">
      <c r="C60">
        <v>50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C34" sqref="C34"/>
    </sheetView>
  </sheetViews>
  <sheetFormatPr defaultColWidth="9" defaultRowHeight="14.25" x14ac:dyDescent="0.2"/>
  <sheetData>
    <row r="1" spans="1:14" x14ac:dyDescent="0.2">
      <c r="A1" t="s">
        <v>3</v>
      </c>
      <c r="B1" t="s">
        <v>4</v>
      </c>
      <c r="C1" t="s">
        <v>41</v>
      </c>
      <c r="D1" t="s">
        <v>42</v>
      </c>
      <c r="E1" t="s">
        <v>43</v>
      </c>
      <c r="N1">
        <f>90/4</f>
        <v>22.5</v>
      </c>
    </row>
    <row r="2" spans="1:14" x14ac:dyDescent="0.2">
      <c r="A2">
        <f>COS(D2)*E2</f>
        <v>2</v>
      </c>
      <c r="B2">
        <f>SIN(D2)*E2</f>
        <v>0</v>
      </c>
      <c r="C2">
        <v>0</v>
      </c>
      <c r="D2">
        <f>C2/180*PI()</f>
        <v>0</v>
      </c>
      <c r="E2">
        <v>2</v>
      </c>
    </row>
    <row r="3" spans="1:14" x14ac:dyDescent="0.2">
      <c r="A3">
        <f>COS(D3)*E3</f>
        <v>1.8477590650225735</v>
      </c>
      <c r="B3">
        <f t="shared" ref="B3:B18" si="0">SIN(D3)*E3</f>
        <v>0.76536686473017956</v>
      </c>
      <c r="C3">
        <v>22.5</v>
      </c>
      <c r="D3">
        <f t="shared" ref="D3:D18" si="1">C3/180*PI()</f>
        <v>0.39269908169872414</v>
      </c>
      <c r="E3">
        <v>2</v>
      </c>
    </row>
    <row r="4" spans="1:14" x14ac:dyDescent="0.2">
      <c r="A4">
        <f t="shared" ref="A4:A18" si="2">COS(D4)*E4</f>
        <v>1.4142135623730951</v>
      </c>
      <c r="B4">
        <f t="shared" si="0"/>
        <v>1.4142135623730949</v>
      </c>
      <c r="C4">
        <v>45</v>
      </c>
      <c r="D4">
        <f t="shared" si="1"/>
        <v>0.78539816339744828</v>
      </c>
      <c r="E4">
        <v>2</v>
      </c>
    </row>
    <row r="5" spans="1:14" x14ac:dyDescent="0.2">
      <c r="A5">
        <f t="shared" si="2"/>
        <v>0.76536686473017967</v>
      </c>
      <c r="B5">
        <f t="shared" si="0"/>
        <v>1.8477590650225735</v>
      </c>
      <c r="C5">
        <v>67.5</v>
      </c>
      <c r="D5">
        <f t="shared" si="1"/>
        <v>1.1780972450961724</v>
      </c>
      <c r="E5">
        <v>2</v>
      </c>
    </row>
    <row r="6" spans="1:14" x14ac:dyDescent="0.2">
      <c r="A6">
        <f t="shared" si="2"/>
        <v>1.22514845490862E-16</v>
      </c>
      <c r="B6">
        <f t="shared" si="0"/>
        <v>2</v>
      </c>
      <c r="C6">
        <v>90</v>
      </c>
      <c r="D6">
        <f t="shared" si="1"/>
        <v>1.5707963267948966</v>
      </c>
      <c r="E6">
        <v>2</v>
      </c>
    </row>
    <row r="7" spans="1:14" x14ac:dyDescent="0.2">
      <c r="A7">
        <f t="shared" si="2"/>
        <v>-0.76536686473017945</v>
      </c>
      <c r="B7">
        <f t="shared" si="0"/>
        <v>1.8477590650225735</v>
      </c>
      <c r="C7">
        <v>112.5</v>
      </c>
      <c r="D7">
        <f t="shared" si="1"/>
        <v>1.9634954084936207</v>
      </c>
      <c r="E7">
        <v>2</v>
      </c>
    </row>
    <row r="8" spans="1:14" x14ac:dyDescent="0.2">
      <c r="A8">
        <f t="shared" si="2"/>
        <v>-1.4142135623730949</v>
      </c>
      <c r="B8">
        <f t="shared" si="0"/>
        <v>1.4142135623730951</v>
      </c>
      <c r="C8">
        <v>135</v>
      </c>
      <c r="D8">
        <f t="shared" si="1"/>
        <v>2.3561944901923448</v>
      </c>
      <c r="E8">
        <v>2</v>
      </c>
    </row>
    <row r="9" spans="1:14" x14ac:dyDescent="0.2">
      <c r="A9">
        <f t="shared" si="2"/>
        <v>-1.8477590650225735</v>
      </c>
      <c r="B9">
        <f t="shared" si="0"/>
        <v>0.76536686473017979</v>
      </c>
      <c r="C9">
        <v>157.5</v>
      </c>
      <c r="D9">
        <f t="shared" si="1"/>
        <v>2.748893571891069</v>
      </c>
      <c r="E9">
        <v>2</v>
      </c>
    </row>
    <row r="10" spans="1:14" x14ac:dyDescent="0.2">
      <c r="A10">
        <f t="shared" si="2"/>
        <v>-2</v>
      </c>
      <c r="B10">
        <f t="shared" si="0"/>
        <v>2.45029690981724E-16</v>
      </c>
      <c r="C10">
        <v>180</v>
      </c>
      <c r="D10">
        <f t="shared" si="1"/>
        <v>3.1415926535897931</v>
      </c>
      <c r="E10">
        <v>2</v>
      </c>
    </row>
    <row r="11" spans="1:14" x14ac:dyDescent="0.2">
      <c r="A11">
        <f t="shared" si="2"/>
        <v>-1.8477590650225737</v>
      </c>
      <c r="B11">
        <f t="shared" si="0"/>
        <v>-0.76536686473017934</v>
      </c>
      <c r="C11">
        <v>202.5</v>
      </c>
      <c r="D11">
        <f t="shared" si="1"/>
        <v>3.5342917352885173</v>
      </c>
      <c r="E11">
        <v>2</v>
      </c>
    </row>
    <row r="12" spans="1:14" x14ac:dyDescent="0.2">
      <c r="A12">
        <f t="shared" si="2"/>
        <v>-1.4142135623730954</v>
      </c>
      <c r="B12">
        <f t="shared" si="0"/>
        <v>-1.4142135623730949</v>
      </c>
      <c r="C12">
        <v>225</v>
      </c>
      <c r="D12">
        <f t="shared" si="1"/>
        <v>3.9269908169872414</v>
      </c>
      <c r="E12">
        <v>2</v>
      </c>
    </row>
    <row r="13" spans="1:14" x14ac:dyDescent="0.2">
      <c r="A13">
        <f t="shared" si="2"/>
        <v>-0.76536686473018067</v>
      </c>
      <c r="B13">
        <f t="shared" si="0"/>
        <v>-1.847759065022573</v>
      </c>
      <c r="C13">
        <v>247.5</v>
      </c>
      <c r="D13">
        <f t="shared" si="1"/>
        <v>4.3196898986859651</v>
      </c>
      <c r="E13">
        <v>2</v>
      </c>
    </row>
    <row r="14" spans="1:14" x14ac:dyDescent="0.2">
      <c r="A14">
        <f t="shared" si="2"/>
        <v>-3.67544536472586E-16</v>
      </c>
      <c r="B14">
        <f t="shared" si="0"/>
        <v>-2</v>
      </c>
      <c r="C14">
        <v>270</v>
      </c>
      <c r="D14">
        <f t="shared" si="1"/>
        <v>4.7123889803846897</v>
      </c>
      <c r="E14">
        <v>2</v>
      </c>
    </row>
    <row r="15" spans="1:14" x14ac:dyDescent="0.2">
      <c r="A15">
        <f t="shared" si="2"/>
        <v>0.76536686473018001</v>
      </c>
      <c r="B15">
        <f t="shared" si="0"/>
        <v>-1.8477590650225733</v>
      </c>
      <c r="C15">
        <v>292.5</v>
      </c>
      <c r="D15">
        <f t="shared" si="1"/>
        <v>5.1050880620834143</v>
      </c>
      <c r="E15">
        <v>2</v>
      </c>
    </row>
    <row r="16" spans="1:14" x14ac:dyDescent="0.2">
      <c r="A16">
        <f t="shared" si="2"/>
        <v>1.4142135623730947</v>
      </c>
      <c r="B16">
        <f t="shared" si="0"/>
        <v>-1.4142135623730954</v>
      </c>
      <c r="C16">
        <v>315</v>
      </c>
      <c r="D16">
        <f t="shared" si="1"/>
        <v>5.497787143782138</v>
      </c>
      <c r="E16">
        <v>2</v>
      </c>
    </row>
    <row r="17" spans="1:5" x14ac:dyDescent="0.2">
      <c r="A17">
        <f t="shared" si="2"/>
        <v>1.847759065022573</v>
      </c>
      <c r="B17">
        <f t="shared" si="0"/>
        <v>-0.76536686473018078</v>
      </c>
      <c r="C17">
        <v>337.5</v>
      </c>
      <c r="D17">
        <f t="shared" si="1"/>
        <v>5.8904862254808616</v>
      </c>
      <c r="E17">
        <v>2</v>
      </c>
    </row>
    <row r="18" spans="1:5" x14ac:dyDescent="0.2">
      <c r="A18">
        <f t="shared" si="2"/>
        <v>2</v>
      </c>
      <c r="B18">
        <f t="shared" si="0"/>
        <v>-4.90059381963448E-16</v>
      </c>
      <c r="C18">
        <v>360</v>
      </c>
      <c r="D18">
        <f t="shared" si="1"/>
        <v>6.2831853071795862</v>
      </c>
      <c r="E18">
        <v>2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topLeftCell="A22" workbookViewId="0">
      <selection activeCell="G18" sqref="G18"/>
    </sheetView>
  </sheetViews>
  <sheetFormatPr defaultColWidth="9" defaultRowHeight="14.25" x14ac:dyDescent="0.2"/>
  <cols>
    <col min="1" max="1" width="10.625" customWidth="1"/>
    <col min="3" max="3" width="10.375"/>
    <col min="4" max="4" width="10.875" customWidth="1"/>
    <col min="7" max="7" width="10.375"/>
    <col min="8" max="8" width="11.5"/>
    <col min="9" max="9" width="10.375"/>
    <col min="10" max="10" width="11.5" customWidth="1"/>
    <col min="11" max="11" width="30.875" customWidth="1"/>
    <col min="15" max="15" width="28.5" customWidth="1"/>
    <col min="18" max="18" width="12.625"/>
  </cols>
  <sheetData>
    <row r="1" spans="1:23" x14ac:dyDescent="0.2">
      <c r="A1" s="1" t="s">
        <v>10</v>
      </c>
      <c r="B1" s="1"/>
      <c r="C1" s="1"/>
      <c r="D1" s="2" t="s">
        <v>44</v>
      </c>
      <c r="E1" s="2"/>
      <c r="F1" s="2"/>
      <c r="G1" s="1" t="s">
        <v>8</v>
      </c>
      <c r="H1" s="1"/>
      <c r="I1" s="1"/>
      <c r="K1" s="3" t="s">
        <v>45</v>
      </c>
    </row>
    <row r="2" spans="1:23" x14ac:dyDescent="0.2">
      <c r="A2" s="1" t="s">
        <v>3</v>
      </c>
      <c r="B2" s="1" t="s">
        <v>4</v>
      </c>
      <c r="C2" s="1" t="s">
        <v>5</v>
      </c>
      <c r="D2" s="2" t="s">
        <v>3</v>
      </c>
      <c r="E2" s="2" t="s">
        <v>4</v>
      </c>
      <c r="F2" s="2" t="s">
        <v>5</v>
      </c>
      <c r="G2" s="1" t="s">
        <v>3</v>
      </c>
      <c r="H2" s="1" t="s">
        <v>4</v>
      </c>
      <c r="I2" s="1" t="s">
        <v>5</v>
      </c>
      <c r="K2" s="4" t="s">
        <v>46</v>
      </c>
      <c r="O2" s="1" t="s">
        <v>8</v>
      </c>
      <c r="P2" s="1"/>
      <c r="Q2" s="1"/>
      <c r="R2" s="2" t="s">
        <v>44</v>
      </c>
      <c r="S2" s="2"/>
      <c r="T2" s="2"/>
      <c r="U2" s="1" t="s">
        <v>10</v>
      </c>
      <c r="V2" s="1"/>
      <c r="W2" s="1"/>
    </row>
    <row r="3" spans="1:23" x14ac:dyDescent="0.2">
      <c r="A3">
        <v>12082.82</v>
      </c>
      <c r="B3">
        <v>13.781166000000001</v>
      </c>
      <c r="C3">
        <v>8429.6710000000003</v>
      </c>
      <c r="D3">
        <v>-10620</v>
      </c>
      <c r="E3">
        <v>0</v>
      </c>
      <c r="F3">
        <v>-10570</v>
      </c>
      <c r="G3">
        <f>A3+D3</f>
        <v>1462.8199999999997</v>
      </c>
      <c r="H3">
        <f>C3+F3</f>
        <v>-2140.3289999999997</v>
      </c>
      <c r="I3">
        <f>B3+E3</f>
        <v>13.781166000000001</v>
      </c>
      <c r="K3" s="5"/>
      <c r="O3" s="1" t="s">
        <v>3</v>
      </c>
      <c r="P3" s="1" t="s">
        <v>4</v>
      </c>
      <c r="Q3" s="1" t="s">
        <v>5</v>
      </c>
      <c r="R3" s="2" t="s">
        <v>3</v>
      </c>
      <c r="S3" s="2" t="s">
        <v>4</v>
      </c>
      <c r="T3" s="2" t="s">
        <v>5</v>
      </c>
      <c r="U3" s="1" t="s">
        <v>3</v>
      </c>
      <c r="V3" s="1" t="s">
        <v>4</v>
      </c>
      <c r="W3" s="1" t="s">
        <v>5</v>
      </c>
    </row>
    <row r="4" spans="1:23" x14ac:dyDescent="0.2">
      <c r="A4">
        <v>11885.281999999999</v>
      </c>
      <c r="B4">
        <v>13.781166000000001</v>
      </c>
      <c r="C4">
        <v>8398.384</v>
      </c>
      <c r="D4">
        <v>-10620</v>
      </c>
      <c r="E4">
        <v>0</v>
      </c>
      <c r="F4">
        <v>-10570</v>
      </c>
      <c r="G4">
        <f t="shared" ref="G4:G39" si="0">A4+D4</f>
        <v>1265.2819999999992</v>
      </c>
      <c r="H4">
        <f t="shared" ref="H4:H40" si="1">C4+F4</f>
        <v>-2171.616</v>
      </c>
      <c r="I4">
        <f t="shared" ref="I4:I40" si="2">B4+E4</f>
        <v>13.781166000000001</v>
      </c>
      <c r="K4" s="5"/>
      <c r="O4">
        <v>9644.2998050000006</v>
      </c>
      <c r="P4">
        <v>-2841.3725589999999</v>
      </c>
      <c r="Q4">
        <v>54.5</v>
      </c>
      <c r="R4">
        <v>-10620</v>
      </c>
      <c r="S4">
        <v>0</v>
      </c>
      <c r="T4">
        <v>-10570</v>
      </c>
      <c r="U4">
        <f>O4-R4</f>
        <v>20264.299805000002</v>
      </c>
      <c r="V4">
        <f>Q4-S4</f>
        <v>54.5</v>
      </c>
      <c r="W4">
        <f>P4-T4</f>
        <v>7728.6274410000005</v>
      </c>
    </row>
    <row r="5" spans="1:23" x14ac:dyDescent="0.2">
      <c r="K5" s="5"/>
    </row>
    <row r="6" spans="1:23" x14ac:dyDescent="0.2">
      <c r="K6" s="5"/>
    </row>
    <row r="7" spans="1:23" x14ac:dyDescent="0.2">
      <c r="K7" s="5"/>
      <c r="O7" s="1" t="s">
        <v>8</v>
      </c>
      <c r="P7" s="1"/>
      <c r="Q7" s="1"/>
      <c r="R7" s="2" t="s">
        <v>10</v>
      </c>
      <c r="S7" s="2"/>
      <c r="T7" s="2"/>
      <c r="U7" s="1" t="s">
        <v>44</v>
      </c>
      <c r="V7" s="1"/>
      <c r="W7" s="1"/>
    </row>
    <row r="8" spans="1:23" x14ac:dyDescent="0.2">
      <c r="K8" s="5"/>
      <c r="O8" s="1" t="s">
        <v>3</v>
      </c>
      <c r="P8" s="1" t="s">
        <v>4</v>
      </c>
      <c r="Q8" s="1" t="s">
        <v>5</v>
      </c>
      <c r="R8" s="2" t="s">
        <v>3</v>
      </c>
      <c r="S8" s="2" t="s">
        <v>4</v>
      </c>
      <c r="T8" s="2" t="s">
        <v>5</v>
      </c>
      <c r="U8" s="1" t="s">
        <v>3</v>
      </c>
      <c r="V8" s="1" t="s">
        <v>4</v>
      </c>
      <c r="W8" s="1" t="s">
        <v>5</v>
      </c>
    </row>
    <row r="9" spans="1:23" ht="15.75" x14ac:dyDescent="0.2">
      <c r="K9" s="5"/>
      <c r="O9" s="12">
        <v>5494</v>
      </c>
      <c r="P9" s="12">
        <v>-2087</v>
      </c>
      <c r="Q9" s="12">
        <v>307</v>
      </c>
      <c r="R9">
        <v>-10620</v>
      </c>
      <c r="S9">
        <v>0</v>
      </c>
      <c r="T9">
        <v>-10570</v>
      </c>
      <c r="U9">
        <f>O9-R9</f>
        <v>16114</v>
      </c>
      <c r="V9">
        <f>Q9-S9</f>
        <v>307</v>
      </c>
      <c r="W9">
        <f>P9-T9</f>
        <v>8483</v>
      </c>
    </row>
    <row r="10" spans="1:23" x14ac:dyDescent="0.2">
      <c r="K10" s="5"/>
    </row>
    <row r="11" spans="1:23" x14ac:dyDescent="0.2">
      <c r="K11" s="5"/>
      <c r="O11" s="1" t="s">
        <v>10</v>
      </c>
      <c r="P11" s="1"/>
      <c r="Q11" s="1"/>
      <c r="R11" s="2" t="s">
        <v>44</v>
      </c>
      <c r="S11" s="2"/>
      <c r="T11" s="2"/>
      <c r="U11" s="1" t="s">
        <v>13</v>
      </c>
      <c r="V11" s="1"/>
      <c r="W11" s="1"/>
    </row>
    <row r="12" spans="1:23" x14ac:dyDescent="0.2">
      <c r="K12" s="5"/>
      <c r="O12" s="1" t="s">
        <v>3</v>
      </c>
      <c r="P12" s="1" t="s">
        <v>4</v>
      </c>
      <c r="Q12" s="1" t="s">
        <v>5</v>
      </c>
      <c r="R12" s="2" t="s">
        <v>3</v>
      </c>
      <c r="S12" s="2" t="s">
        <v>4</v>
      </c>
      <c r="T12" s="2" t="s">
        <v>5</v>
      </c>
      <c r="U12" s="1" t="s">
        <v>3</v>
      </c>
      <c r="V12" s="1" t="s">
        <v>4</v>
      </c>
      <c r="W12" s="1" t="s">
        <v>5</v>
      </c>
    </row>
    <row r="13" spans="1:23" x14ac:dyDescent="0.2">
      <c r="K13" s="5"/>
      <c r="O13">
        <v>2328</v>
      </c>
      <c r="P13">
        <v>550</v>
      </c>
      <c r="Q13">
        <v>5230</v>
      </c>
      <c r="R13">
        <v>-3610</v>
      </c>
      <c r="S13">
        <v>0</v>
      </c>
      <c r="T13">
        <v>-2600</v>
      </c>
      <c r="U13">
        <f>(O13+R13)*-0.01</f>
        <v>12.82</v>
      </c>
      <c r="V13">
        <f>(P13+S13)*0.01</f>
        <v>5.5</v>
      </c>
      <c r="W13">
        <f>(Q13+T13)*-0.01</f>
        <v>-26.3</v>
      </c>
    </row>
    <row r="14" spans="1:23" x14ac:dyDescent="0.2">
      <c r="K14" s="5"/>
      <c r="O14">
        <v>3393</v>
      </c>
      <c r="P14">
        <v>550</v>
      </c>
      <c r="Q14">
        <v>5160</v>
      </c>
      <c r="R14">
        <v>-3610</v>
      </c>
      <c r="S14">
        <v>0</v>
      </c>
      <c r="T14">
        <v>-2600</v>
      </c>
      <c r="U14">
        <f>(O14+R14)*-0.01</f>
        <v>2.17</v>
      </c>
      <c r="V14">
        <f>(P14+S14)*0.01</f>
        <v>5.5</v>
      </c>
      <c r="W14">
        <f>(Q14+T14)*-0.01</f>
        <v>-25.6</v>
      </c>
    </row>
    <row r="15" spans="1:23" x14ac:dyDescent="0.2">
      <c r="K15" s="6"/>
      <c r="O15">
        <v>2328</v>
      </c>
      <c r="P15">
        <v>550</v>
      </c>
      <c r="Q15">
        <v>5230</v>
      </c>
      <c r="R15">
        <v>-3610</v>
      </c>
      <c r="S15">
        <v>0</v>
      </c>
      <c r="T15">
        <v>-2600</v>
      </c>
      <c r="U15">
        <f>(O15+R15)*-0.01</f>
        <v>12.82</v>
      </c>
      <c r="V15">
        <f>(P15+S15)*0.01</f>
        <v>5.5</v>
      </c>
      <c r="W15">
        <f>(Q15+T15)*-0.01</f>
        <v>-26.3</v>
      </c>
    </row>
    <row r="17" spans="11:23" x14ac:dyDescent="0.2">
      <c r="K17" s="3" t="s">
        <v>47</v>
      </c>
    </row>
    <row r="18" spans="11:23" x14ac:dyDescent="0.2">
      <c r="K18" s="5" t="s">
        <v>48</v>
      </c>
    </row>
    <row r="19" spans="11:23" x14ac:dyDescent="0.2">
      <c r="K19" s="5" t="s">
        <v>49</v>
      </c>
      <c r="O19" s="1" t="s">
        <v>13</v>
      </c>
      <c r="P19" s="1"/>
      <c r="Q19" s="1"/>
      <c r="R19" s="2" t="s">
        <v>44</v>
      </c>
      <c r="S19" s="2"/>
      <c r="T19" s="2"/>
      <c r="U19" s="1" t="s">
        <v>10</v>
      </c>
      <c r="V19" s="1"/>
      <c r="W19" s="1"/>
    </row>
    <row r="20" spans="11:23" x14ac:dyDescent="0.2">
      <c r="K20" s="5"/>
      <c r="O20" s="1" t="s">
        <v>3</v>
      </c>
      <c r="P20" s="1" t="s">
        <v>4</v>
      </c>
      <c r="Q20" s="1" t="s">
        <v>5</v>
      </c>
      <c r="R20" s="2" t="s">
        <v>3</v>
      </c>
      <c r="S20" s="2" t="s">
        <v>4</v>
      </c>
      <c r="T20" s="2" t="s">
        <v>5</v>
      </c>
      <c r="U20" s="1" t="s">
        <v>3</v>
      </c>
      <c r="V20" s="1" t="s">
        <v>4</v>
      </c>
      <c r="W20" s="1" t="s">
        <v>5</v>
      </c>
    </row>
    <row r="21" spans="11:23" x14ac:dyDescent="0.2">
      <c r="K21" s="5"/>
      <c r="O21">
        <v>-89.343000000000004</v>
      </c>
      <c r="P21">
        <v>4.4999999999999998E-2</v>
      </c>
      <c r="Q21">
        <v>30.597000000000001</v>
      </c>
      <c r="R21">
        <v>-10620</v>
      </c>
      <c r="S21">
        <v>0</v>
      </c>
      <c r="T21">
        <v>-10570</v>
      </c>
      <c r="U21">
        <f>-100*O21-R21</f>
        <v>19554.300000000003</v>
      </c>
      <c r="V21">
        <f>P21*100-S21</f>
        <v>4.5</v>
      </c>
      <c r="W21">
        <f>-100*Q21-T21</f>
        <v>7510.2999999999993</v>
      </c>
    </row>
    <row r="22" spans="11:23" x14ac:dyDescent="0.2">
      <c r="K22" s="5"/>
      <c r="O22">
        <v>-13.72</v>
      </c>
      <c r="P22">
        <v>5</v>
      </c>
      <c r="Q22">
        <v>-0.87</v>
      </c>
      <c r="R22">
        <v>-10620</v>
      </c>
      <c r="S22">
        <v>0</v>
      </c>
      <c r="T22">
        <v>-10570</v>
      </c>
      <c r="U22">
        <f t="shared" ref="U22:U24" si="3">-100*O22-R22</f>
        <v>11992</v>
      </c>
      <c r="V22">
        <f t="shared" ref="V22:V24" si="4">P22*100-S22</f>
        <v>500</v>
      </c>
      <c r="W22">
        <f t="shared" ref="W22:W24" si="5">-100*Q22-T22</f>
        <v>10657</v>
      </c>
    </row>
    <row r="23" spans="11:23" x14ac:dyDescent="0.2">
      <c r="K23" s="5"/>
      <c r="O23">
        <v>-10.39</v>
      </c>
      <c r="P23">
        <v>5</v>
      </c>
      <c r="Q23">
        <v>-5.77</v>
      </c>
      <c r="R23">
        <v>-10620</v>
      </c>
      <c r="S23">
        <v>0</v>
      </c>
      <c r="T23">
        <v>-10570</v>
      </c>
      <c r="U23">
        <f t="shared" si="3"/>
        <v>11659</v>
      </c>
      <c r="V23">
        <f t="shared" si="4"/>
        <v>500</v>
      </c>
      <c r="W23">
        <f t="shared" si="5"/>
        <v>11147</v>
      </c>
    </row>
    <row r="24" spans="11:23" x14ac:dyDescent="0.2">
      <c r="K24" s="5"/>
      <c r="O24">
        <v>-8.75</v>
      </c>
      <c r="P24">
        <v>5</v>
      </c>
      <c r="Q24">
        <v>-5.66</v>
      </c>
      <c r="R24">
        <v>-10620</v>
      </c>
      <c r="S24">
        <v>0</v>
      </c>
      <c r="T24">
        <v>-10570</v>
      </c>
      <c r="U24">
        <f t="shared" si="3"/>
        <v>11495</v>
      </c>
      <c r="V24">
        <f t="shared" si="4"/>
        <v>500</v>
      </c>
      <c r="W24">
        <f t="shared" si="5"/>
        <v>11136</v>
      </c>
    </row>
    <row r="25" spans="11:23" x14ac:dyDescent="0.2">
      <c r="K25" s="5" t="s">
        <v>50</v>
      </c>
    </row>
    <row r="26" spans="11:23" x14ac:dyDescent="0.2">
      <c r="K26" s="5" t="s">
        <v>51</v>
      </c>
    </row>
    <row r="27" spans="11:23" x14ac:dyDescent="0.2">
      <c r="K27" s="6" t="s">
        <v>52</v>
      </c>
      <c r="O27" t="s">
        <v>53</v>
      </c>
    </row>
    <row r="28" spans="11:23" x14ac:dyDescent="0.2">
      <c r="O28" t="s">
        <v>54</v>
      </c>
    </row>
    <row r="29" spans="11:23" x14ac:dyDescent="0.2">
      <c r="O29" t="s">
        <v>55</v>
      </c>
    </row>
    <row r="30" spans="11:23" x14ac:dyDescent="0.2">
      <c r="O30" t="s">
        <v>56</v>
      </c>
    </row>
    <row r="31" spans="11:23" x14ac:dyDescent="0.2">
      <c r="O31" t="s">
        <v>57</v>
      </c>
    </row>
    <row r="32" spans="11:23" x14ac:dyDescent="0.2">
      <c r="O32" t="s">
        <v>58</v>
      </c>
    </row>
    <row r="33" spans="1:18" x14ac:dyDescent="0.2">
      <c r="O33" t="s">
        <v>54</v>
      </c>
    </row>
    <row r="34" spans="1:18" x14ac:dyDescent="0.2">
      <c r="O34" t="s">
        <v>59</v>
      </c>
    </row>
    <row r="35" spans="1:18" x14ac:dyDescent="0.2">
      <c r="O35" t="s">
        <v>56</v>
      </c>
    </row>
    <row r="36" spans="1:18" x14ac:dyDescent="0.2">
      <c r="O36" t="s">
        <v>60</v>
      </c>
    </row>
    <row r="37" spans="1:18" x14ac:dyDescent="0.2">
      <c r="O37" t="s">
        <v>61</v>
      </c>
    </row>
    <row r="38" spans="1:18" x14ac:dyDescent="0.2">
      <c r="O38" t="s">
        <v>54</v>
      </c>
    </row>
    <row r="39" spans="1:18" x14ac:dyDescent="0.2">
      <c r="O39" t="s">
        <v>62</v>
      </c>
    </row>
    <row r="40" spans="1:18" x14ac:dyDescent="0.2">
      <c r="O40" t="s">
        <v>56</v>
      </c>
    </row>
    <row r="41" spans="1:18" x14ac:dyDescent="0.2">
      <c r="O41" t="s">
        <v>63</v>
      </c>
      <c r="R41">
        <v>200</v>
      </c>
    </row>
    <row r="44" spans="1:18" x14ac:dyDescent="0.2">
      <c r="B44" t="s">
        <v>71</v>
      </c>
      <c r="C44" t="s">
        <v>72</v>
      </c>
      <c r="D44" t="s">
        <v>73</v>
      </c>
    </row>
    <row r="45" spans="1:18" x14ac:dyDescent="0.2">
      <c r="A45" t="s">
        <v>74</v>
      </c>
      <c r="B45">
        <v>13439.97</v>
      </c>
      <c r="C45">
        <v>31.822030999999999</v>
      </c>
      <c r="D45">
        <v>10201.264999999999</v>
      </c>
      <c r="N45" t="s">
        <v>53</v>
      </c>
      <c r="O45">
        <v>7108</v>
      </c>
      <c r="P45">
        <v>2827</v>
      </c>
    </row>
    <row r="46" spans="1:18" x14ac:dyDescent="0.2">
      <c r="A46" s="13" t="s">
        <v>75</v>
      </c>
      <c r="B46">
        <v>13439.97</v>
      </c>
      <c r="C46">
        <v>31.822030999999999</v>
      </c>
      <c r="D46">
        <v>10201.264999999999</v>
      </c>
      <c r="E46">
        <f>SQRT(POWER(B45-B46,2)+POWER(D45-D46,2))</f>
        <v>0</v>
      </c>
      <c r="N46" t="s">
        <v>64</v>
      </c>
      <c r="O46">
        <v>7105</v>
      </c>
      <c r="P46">
        <v>3358</v>
      </c>
      <c r="R46">
        <f>SQRT(POWER(O46-O45,2)+POWER(P46-P45,2))</f>
        <v>531.0084745086466</v>
      </c>
    </row>
    <row r="47" spans="1:18" x14ac:dyDescent="0.2">
      <c r="A47" s="13" t="s">
        <v>76</v>
      </c>
      <c r="B47">
        <v>13352.258</v>
      </c>
      <c r="C47">
        <v>89.952299999999994</v>
      </c>
      <c r="D47">
        <v>10488.156000000001</v>
      </c>
      <c r="N47" t="s">
        <v>65</v>
      </c>
      <c r="O47">
        <v>7106</v>
      </c>
      <c r="P47">
        <v>3190</v>
      </c>
      <c r="R47">
        <f>SQRT(POWER(O47-O45,2)+POWER(P47-P45,2))</f>
        <v>363.00550960006103</v>
      </c>
    </row>
    <row r="49" spans="16:16" x14ac:dyDescent="0.2">
      <c r="P49" t="s">
        <v>66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L1" sqref="L1"/>
    </sheetView>
  </sheetViews>
  <sheetFormatPr defaultColWidth="9" defaultRowHeight="14.25" x14ac:dyDescent="0.2"/>
  <cols>
    <col min="5" max="5" width="13" customWidth="1"/>
    <col min="6" max="7" width="9.125" customWidth="1"/>
  </cols>
  <sheetData>
    <row r="1" spans="1:10" x14ac:dyDescent="0.2">
      <c r="A1" s="1" t="s">
        <v>67</v>
      </c>
      <c r="B1" s="1"/>
      <c r="C1" s="1"/>
      <c r="E1" s="1" t="s">
        <v>68</v>
      </c>
      <c r="F1" s="1"/>
      <c r="G1" s="1"/>
      <c r="I1" s="1" t="s">
        <v>0</v>
      </c>
      <c r="J1" s="1" t="s">
        <v>1</v>
      </c>
    </row>
    <row r="2" spans="1:10" x14ac:dyDescent="0.2">
      <c r="A2" s="1" t="s">
        <v>3</v>
      </c>
      <c r="B2" s="1" t="s">
        <v>4</v>
      </c>
      <c r="C2" s="1" t="s">
        <v>16</v>
      </c>
      <c r="E2" s="1" t="s">
        <v>3</v>
      </c>
      <c r="F2" s="1" t="s">
        <v>4</v>
      </c>
      <c r="G2" s="1" t="s">
        <v>16</v>
      </c>
      <c r="I2">
        <v>30</v>
      </c>
      <c r="J2">
        <f>I2/180*PI()</f>
        <v>0.52359877559829882</v>
      </c>
    </row>
    <row r="3" spans="1:10" x14ac:dyDescent="0.2">
      <c r="A3">
        <v>0</v>
      </c>
      <c r="B3">
        <v>0</v>
      </c>
      <c r="C3">
        <v>1</v>
      </c>
      <c r="E3">
        <f>COS(J2)</f>
        <v>0.86602540378443871</v>
      </c>
      <c r="F3">
        <f>SIN(J2)</f>
        <v>0.49999999999999994</v>
      </c>
      <c r="G3">
        <v>0</v>
      </c>
    </row>
    <row r="4" spans="1:10" x14ac:dyDescent="0.2">
      <c r="A4">
        <v>3</v>
      </c>
      <c r="B4">
        <v>0</v>
      </c>
      <c r="C4">
        <v>1</v>
      </c>
      <c r="E4">
        <f>-SIN(J2)</f>
        <v>-0.49999999999999994</v>
      </c>
      <c r="F4">
        <f>COS(J2)</f>
        <v>0.86602540378443871</v>
      </c>
      <c r="G4">
        <v>0</v>
      </c>
    </row>
    <row r="5" spans="1:10" x14ac:dyDescent="0.2">
      <c r="A5">
        <v>3</v>
      </c>
      <c r="B5">
        <v>7</v>
      </c>
      <c r="C5">
        <v>1</v>
      </c>
      <c r="E5">
        <v>0</v>
      </c>
      <c r="F5">
        <v>0</v>
      </c>
      <c r="G5">
        <v>1</v>
      </c>
    </row>
    <row r="6" spans="1:10" x14ac:dyDescent="0.2">
      <c r="A6">
        <v>0</v>
      </c>
      <c r="B6">
        <v>7</v>
      </c>
      <c r="C6">
        <v>1</v>
      </c>
    </row>
    <row r="7" spans="1:10" x14ac:dyDescent="0.2">
      <c r="E7" s="1" t="s">
        <v>69</v>
      </c>
      <c r="F7" s="1"/>
      <c r="G7" s="1"/>
    </row>
    <row r="8" spans="1:10" x14ac:dyDescent="0.2">
      <c r="A8" s="1" t="s">
        <v>15</v>
      </c>
      <c r="B8" s="1"/>
      <c r="C8" s="1"/>
      <c r="E8">
        <f t="array" ref="E8:G8">MMULT(A3:C3,E3:G5)</f>
        <v>0</v>
      </c>
      <c r="F8">
        <v>0</v>
      </c>
      <c r="G8">
        <v>1</v>
      </c>
    </row>
    <row r="9" spans="1:10" x14ac:dyDescent="0.2">
      <c r="A9" s="1" t="s">
        <v>3</v>
      </c>
      <c r="B9" s="1" t="s">
        <v>4</v>
      </c>
      <c r="C9" s="1" t="s">
        <v>16</v>
      </c>
      <c r="E9">
        <f t="array" ref="E9:G9">MMULT(A4:C4,E3:G5)</f>
        <v>2.598076211353316</v>
      </c>
      <c r="F9">
        <v>1.4999999999999998</v>
      </c>
      <c r="G9">
        <v>1</v>
      </c>
    </row>
    <row r="10" spans="1:10" x14ac:dyDescent="0.2">
      <c r="A10">
        <v>1</v>
      </c>
      <c r="B10">
        <v>0</v>
      </c>
      <c r="C10">
        <v>0</v>
      </c>
      <c r="E10">
        <f t="array" ref="E10:G10">MMULT(A5:C5,E3:G5)</f>
        <v>-0.90192378864668354</v>
      </c>
      <c r="F10">
        <v>7.5621778264910713</v>
      </c>
      <c r="G10">
        <v>1</v>
      </c>
    </row>
    <row r="11" spans="1:10" x14ac:dyDescent="0.2">
      <c r="A11">
        <v>0</v>
      </c>
      <c r="B11">
        <v>1</v>
      </c>
      <c r="C11">
        <v>0</v>
      </c>
      <c r="E11">
        <f t="array" ref="E11:G11">MMULT(A6:C6,E3:G5)</f>
        <v>-3.4999999999999996</v>
      </c>
      <c r="F11">
        <v>6.0621778264910713</v>
      </c>
      <c r="G11">
        <v>1</v>
      </c>
    </row>
    <row r="12" spans="1:10" x14ac:dyDescent="0.2">
      <c r="A12">
        <v>-4</v>
      </c>
      <c r="B12">
        <v>-5</v>
      </c>
      <c r="C12">
        <v>1</v>
      </c>
    </row>
    <row r="14" spans="1:10" x14ac:dyDescent="0.2">
      <c r="E14" s="1" t="s">
        <v>70</v>
      </c>
      <c r="F14" s="1"/>
      <c r="G14" s="1"/>
    </row>
    <row r="15" spans="1:10" x14ac:dyDescent="0.2">
      <c r="E15">
        <f t="array" ref="E15:G15">MMULT(E8:G8,A10:C12)</f>
        <v>-4</v>
      </c>
      <c r="F15">
        <v>-5</v>
      </c>
      <c r="G15">
        <v>1</v>
      </c>
    </row>
    <row r="16" spans="1:10" x14ac:dyDescent="0.2">
      <c r="E16">
        <f t="array" ref="E16:G16">MMULT(E9:G9,A10:C12)</f>
        <v>-1.401923788646684</v>
      </c>
      <c r="F16">
        <v>-3.5</v>
      </c>
      <c r="G16">
        <v>1</v>
      </c>
    </row>
    <row r="17" spans="5:7" x14ac:dyDescent="0.2">
      <c r="E17">
        <f t="array" ref="E17:G17">MMULT(E10:G10,A10:C12)</f>
        <v>-4.901923788646684</v>
      </c>
      <c r="F17">
        <v>2.5621778264910713</v>
      </c>
      <c r="G17">
        <v>1</v>
      </c>
    </row>
    <row r="18" spans="5:7" x14ac:dyDescent="0.2">
      <c r="E18">
        <f t="array" ref="E18:G18">MMULT(E11:G11,A10:C12)</f>
        <v>-7.5</v>
      </c>
      <c r="F18">
        <v>1.0621778264910713</v>
      </c>
      <c r="G18">
        <v>1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D2"/>
    </sheetView>
  </sheetViews>
  <sheetFormatPr defaultRowHeight="14.25" x14ac:dyDescent="0.2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battleCircle</vt:lpstr>
      <vt:lpstr>坐标转换</vt:lpstr>
      <vt:lpstr>矩形检测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肖赞彪</dc:creator>
  <cp:lastModifiedBy>肖赞彪</cp:lastModifiedBy>
  <dcterms:created xsi:type="dcterms:W3CDTF">2021-01-15T09:21:00Z</dcterms:created>
  <dcterms:modified xsi:type="dcterms:W3CDTF">2021-03-23T08:28:06Z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